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ishi\.vscode\EDL_Project\"/>
    </mc:Choice>
  </mc:AlternateContent>
  <xr:revisionPtr revIDLastSave="0" documentId="13_ncr:1_{11B427F2-E8FF-4B70-8172-B54117F876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2" i="1"/>
  <c r="G41" i="1"/>
  <c r="G39" i="1"/>
  <c r="G38" i="1"/>
  <c r="G37" i="1"/>
  <c r="G35" i="1"/>
  <c r="G34" i="1"/>
  <c r="G33" i="1"/>
  <c r="G31" i="1"/>
  <c r="G30" i="1"/>
  <c r="G29" i="1"/>
  <c r="G28" i="1"/>
  <c r="G26" i="1"/>
  <c r="G25" i="1"/>
  <c r="G24" i="1"/>
  <c r="G23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<sst xmlns="http://schemas.openxmlformats.org/spreadsheetml/2006/main" count="164" uniqueCount="83">
  <si>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</si>
  <si>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</si>
  <si>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</si>
  <si>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</si>
  <si>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</si>
  <si>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</si>
  <si>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</si>
  <si>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</si>
  <si>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</si>
  <si>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</si>
  <si>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</si>
  <si>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</si>
  <si>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</si>
  <si>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</si>
  <si>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</si>
  <si>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</si>
  <si>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</si>
  <si>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</si>
  <si>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</si>
  <si>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</si>
  <si>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</si>
  <si>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</si>
  <si>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</si>
  <si>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</si>
  <si>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</si>
  <si>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</si>
  <si>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</si>
  <si>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</si>
  <si>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</si>
  <si>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</si>
  <si>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</si>
  <si>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</si>
  <si>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</si>
  <si>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</si>
  <si>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M</t>
  </si>
  <si>
    <t>T</t>
  </si>
  <si>
    <t>W</t>
  </si>
  <si>
    <t>R</t>
  </si>
  <si>
    <t>F</t>
  </si>
  <si>
    <t>Project Planning</t>
  </si>
  <si>
    <t>Literature review of continuum robots</t>
  </si>
  <si>
    <t>Veeresh</t>
  </si>
  <si>
    <t>Define project objectives</t>
  </si>
  <si>
    <t>Rishith</t>
  </si>
  <si>
    <t>Define performance requirements</t>
  </si>
  <si>
    <t>Arijit</t>
  </si>
  <si>
    <t>System architecture planning</t>
  </si>
  <si>
    <t xml:space="preserve">Arshit </t>
  </si>
  <si>
    <t>Project timeline creation</t>
  </si>
  <si>
    <t>Prithvi</t>
  </si>
  <si>
    <t>Requirements &amp; System Design</t>
  </si>
  <si>
    <t>Define degrees of freedom</t>
  </si>
  <si>
    <t>Define actuation method (tendon-driven)</t>
  </si>
  <si>
    <t>Define materials and dimensions</t>
  </si>
  <si>
    <t>Arshit</t>
  </si>
  <si>
    <t>Overall system block diagram</t>
  </si>
  <si>
    <t>Mechanical Design</t>
  </si>
  <si>
    <t>Continuum backbone design</t>
  </si>
  <si>
    <t>Tendon routing design</t>
  </si>
  <si>
    <t>End effector (tentacle) design</t>
  </si>
  <si>
    <t>Arshit, Rishith</t>
  </si>
  <si>
    <t>Motor mounting design</t>
  </si>
  <si>
    <t>Prithvi, Arijit</t>
  </si>
  <si>
    <t>Electronics &amp; Hardware</t>
  </si>
  <si>
    <t xml:space="preserve">Component selection </t>
  </si>
  <si>
    <t>Arijit, Prithvi</t>
  </si>
  <si>
    <t>PCB design</t>
  </si>
  <si>
    <t>Arshit, Veeresh</t>
  </si>
  <si>
    <t>PCB Fabrication</t>
  </si>
  <si>
    <t>Hardware testing</t>
  </si>
  <si>
    <t>Software &amp; Control</t>
  </si>
  <si>
    <t>GUI development</t>
  </si>
  <si>
    <t>Control algorithm implementation</t>
  </si>
  <si>
    <t>Communication protocol implementation</t>
  </si>
  <si>
    <t>Fabrication &amp; Assembly</t>
  </si>
  <si>
    <t>3D printing parts</t>
  </si>
  <si>
    <t>Mechanical assembly</t>
  </si>
  <si>
    <t>Electronics assembly</t>
  </si>
  <si>
    <t>Testing and Validation</t>
  </si>
  <si>
    <t>Functional testing</t>
  </si>
  <si>
    <t>Load testing</t>
  </si>
  <si>
    <t>Accuracy Testing</t>
  </si>
  <si>
    <t>WEEK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</si>
</sst>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"/>
  </numFmts>
  <fonts count="30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2" borderId="6" xfId="0" applyFont="1" applyFill="1" applyBorder="1" applyAlignment="1">
      <alignment horizontal="center" vertical="center"/>
    </xf>
    <xf numFmtId="0" fontId="25" fillId="13" borderId="6" xfId="0" applyFont="1" applyFill="1" applyBorder="1" applyAlignment="1">
      <alignment horizontal="center" vertical="center"/>
    </xf>
    <xf numFmtId="0" fontId="25" fillId="14" borderId="6" xfId="0" applyFont="1" applyFill="1" applyBorder="1" applyAlignment="1">
      <alignment horizontal="center" vertical="center"/>
    </xf>
    <xf numFmtId="0" fontId="25" fillId="15" borderId="6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left" vertical="center" wrapText="1"/>
    </xf>
    <xf numFmtId="0" fontId="26" fillId="16" borderId="7" xfId="0" applyFont="1" applyFill="1" applyBorder="1" applyAlignment="1">
      <alignment vertical="center"/>
    </xf>
    <xf numFmtId="0" fontId="26" fillId="16" borderId="7" xfId="0" applyFont="1" applyFill="1" applyBorder="1" applyAlignment="1">
      <alignment vertical="center" wrapText="1"/>
    </xf>
    <xf numFmtId="0" fontId="26" fillId="16" borderId="0" xfId="0" applyFont="1" applyFill="1" applyAlignment="1">
      <alignment horizontal="center" vertical="center"/>
    </xf>
    <xf numFmtId="164" fontId="26" fillId="16" borderId="0" xfId="0" applyNumberFormat="1" applyFont="1" applyFill="1" applyAlignment="1">
      <alignment horizontal="center" vertical="center"/>
    </xf>
    <xf numFmtId="3" fontId="26" fillId="16" borderId="0" xfId="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8" fillId="0" borderId="0" xfId="0" applyFont="1"/>
    <xf numFmtId="0" fontId="28" fillId="0" borderId="8" xfId="0" applyFont="1" applyBorder="1" applyAlignment="1">
      <alignment vertical="center" wrapText="1"/>
    </xf>
    <xf numFmtId="165" fontId="28" fillId="0" borderId="8" xfId="0" applyNumberFormat="1" applyFont="1" applyBorder="1" applyAlignment="1">
      <alignment horizontal="left" vertical="center" wrapText="1"/>
    </xf>
    <xf numFmtId="0" fontId="28" fillId="0" borderId="8" xfId="0" applyFont="1" applyBorder="1" applyAlignment="1">
      <alignment horizontal="center" vertical="center" wrapText="1"/>
    </xf>
    <xf numFmtId="9" fontId="28" fillId="0" borderId="8" xfId="0" applyNumberFormat="1" applyFont="1" applyBorder="1" applyAlignment="1">
      <alignment horizontal="center" vertical="center" wrapText="1"/>
    </xf>
    <xf numFmtId="9" fontId="29" fillId="17" borderId="9" xfId="0" applyNumberFormat="1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9" borderId="10" xfId="0" applyFont="1" applyFill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9" borderId="12" xfId="0" applyFont="1" applyFill="1" applyBorder="1" applyAlignment="1">
      <alignment horizontal="center" vertical="center"/>
    </xf>
    <xf numFmtId="0" fontId="29" fillId="20" borderId="12" xfId="0" applyFont="1" applyFill="1" applyBorder="1" applyAlignment="1">
      <alignment horizontal="center" vertical="center"/>
    </xf>
    <xf numFmtId="0" fontId="29" fillId="21" borderId="12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9" fontId="29" fillId="0" borderId="9" xfId="0" applyNumberFormat="1" applyFont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 vertical="center"/>
    </xf>
    <xf numFmtId="9" fontId="29" fillId="0" borderId="14" xfId="0" applyNumberFormat="1" applyFont="1" applyBorder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9" fontId="28" fillId="22" borderId="8" xfId="0" applyNumberFormat="1" applyFont="1" applyFill="1" applyBorder="1" applyAlignment="1">
      <alignment horizontal="center" vertical="center" wrapText="1"/>
    </xf>
    <xf numFmtId="0" fontId="29" fillId="23" borderId="10" xfId="0" applyFont="1" applyFill="1" applyBorder="1" applyAlignment="1">
      <alignment horizontal="center" vertical="center"/>
    </xf>
    <xf numFmtId="9" fontId="29" fillId="23" borderId="9" xfId="0" applyNumberFormat="1" applyFont="1" applyFill="1" applyBorder="1" applyAlignment="1">
      <alignment horizontal="center" vertical="center"/>
    </xf>
    <xf numFmtId="0" fontId="29" fillId="23" borderId="12" xfId="0" applyFont="1" applyFill="1" applyBorder="1" applyAlignment="1">
      <alignment horizontal="center" vertical="center"/>
    </xf>
    <xf numFmtId="9" fontId="29" fillId="24" borderId="9" xfId="0" applyNumberFormat="1" applyFont="1" applyFill="1" applyBorder="1" applyAlignment="1">
      <alignment horizontal="center" vertical="center"/>
    </xf>
    <xf numFmtId="9" fontId="29" fillId="25" borderId="9" xfId="0" applyNumberFormat="1" applyFont="1" applyFill="1" applyBorder="1" applyAlignment="1">
      <alignment horizontal="center" vertical="center"/>
    </xf>
    <xf numFmtId="0" fontId="29" fillId="25" borderId="10" xfId="0" applyFont="1" applyFill="1" applyBorder="1" applyAlignment="1">
      <alignment horizontal="center" vertical="center"/>
    </xf>
    <xf numFmtId="0" fontId="29" fillId="25" borderId="12" xfId="0" applyFont="1" applyFill="1" applyBorder="1" applyAlignment="1">
      <alignment horizontal="center" vertical="center"/>
    </xf>
    <xf numFmtId="0" fontId="29" fillId="24" borderId="12" xfId="0" applyFont="1" applyFill="1" applyBorder="1" applyAlignment="1">
      <alignment horizontal="center" vertical="center"/>
    </xf>
    <xf numFmtId="0" fontId="29" fillId="25" borderId="13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7" fillId="2" borderId="1" xfId="0" applyFont="1" applyFill="1" applyBorder="1" applyAlignment="1">
      <alignment vertical="center"/>
    </xf>
    <xf numFmtId="0" fontId="0" fillId="0" borderId="1" xfId="0" applyBorder="1"/>
    <xf numFmtId="0" fontId="17" fillId="0" borderId="2" xfId="0" applyFont="1" applyBorder="1" applyAlignment="1">
      <alignment horizontal="left" vertical="center"/>
    </xf>
    <xf numFmtId="0" fontId="0" fillId="0" borderId="2" xfId="0" applyBorder="1"/>
    <xf numFmtId="0" fontId="22" fillId="11" borderId="15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0" fillId="0" borderId="0" xfId="0"/>
    <xf numFmtId="0" fontId="18" fillId="0" borderId="2" xfId="0" applyFont="1" applyBorder="1" applyAlignment="1">
      <alignment vertical="center"/>
    </xf>
    <xf numFmtId="0" fontId="22" fillId="10" borderId="15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22" fillId="4" borderId="3" xfId="0" applyFont="1" applyFill="1" applyBorder="1" applyAlignment="1">
      <alignment horizontal="center" vertical="center"/>
    </xf>
    <xf numFmtId="0" fontId="22" fillId="9" borderId="15" xfId="0" applyFont="1" applyFill="1" applyBorder="1" applyAlignment="1">
      <alignment horizontal="center" vertical="center"/>
    </xf>
    <xf numFmtId="165" fontId="18" fillId="0" borderId="2" xfId="0" applyNumberFormat="1" applyFont="1" applyBorder="1" applyAlignment="1">
      <alignment horizontal="left" vertical="center"/>
    </xf>
    <xf numFmtId="0" fontId="22" fillId="6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22" fillId="5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vertical="center"/>
    </xf>
    <xf numFmtId="0" fontId="29" fillId="0" borderId="12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F0"/>
      </font>
    </dxf>
    <dxf>
      <font>
        <color rgb="FF0070C0"/>
      </font>
    </dxf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Z43"/>
  <sheetViews>
    <sheetView showGridLines="0" tabSelected="1" topLeftCell="A20" zoomScale="53" zoomScaleNormal="76" workbookViewId="0">
      <selection activeCell="B31" sqref="B31"/>
    </sheetView>
  </sheetViews>
  <sheetFormatPr defaultColWidth="12.6328125" defaultRowHeight="15.75" customHeight="1" outlineLevelRow="1"/>
  <cols>
    <col min="1" max="1" width="4.26953125" customWidth="1"/>
    <col min="2" max="2" width="11.08984375" customWidth="1"/>
    <col min="3" max="3" width="27.7265625" customWidth="1"/>
    <col min="4" max="4" width="12.08984375" customWidth="1"/>
    <col min="5" max="6" width="10.453125" customWidth="1"/>
    <col min="7" max="7" width="8.6328125" customWidth="1"/>
    <col min="9" max="68" width="3" customWidth="1"/>
    <col min="69" max="69" width="3.36328125" customWidth="1"/>
    <col min="70" max="70" width="2.7265625" customWidth="1"/>
    <col min="71" max="71" width="3.36328125" customWidth="1"/>
    <col min="72" max="72" width="2.81640625" customWidth="1"/>
    <col min="73" max="73" width="3" customWidth="1"/>
    <col min="74" max="74" width="4.08984375" customWidth="1"/>
    <col min="75" max="75" width="4" customWidth="1"/>
    <col min="76" max="76" width="3.26953125" customWidth="1"/>
    <col min="77" max="77" width="3.08984375" customWidth="1"/>
    <col min="78" max="78" width="4" customWidth="1"/>
  </cols>
  <sheetData>
    <row r="1" spans="1:78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8" ht="21" customHeight="1">
      <c r="A2" s="1"/>
      <c r="B2" s="73" t="s">
        <v>0</v>
      </c>
      <c r="C2" s="74"/>
      <c r="D2" s="74"/>
      <c r="E2" s="74"/>
      <c r="F2" s="74"/>
      <c r="G2" s="74"/>
      <c r="H2" s="10"/>
      <c r="I2" s="88" t="s">
        <v>1</v>
      </c>
      <c r="J2" s="74"/>
      <c r="K2" s="74"/>
      <c r="L2" s="74"/>
      <c r="M2" s="74"/>
      <c r="N2" s="74"/>
      <c r="O2" s="89" t="s">
        <v>2</v>
      </c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8" ht="21" customHeight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78" ht="21" customHeight="1">
      <c r="A4" s="1"/>
      <c r="B4" s="75" t="s">
        <v>3</v>
      </c>
      <c r="C4" s="76"/>
      <c r="D4" s="91" t="s">
        <v>4</v>
      </c>
      <c r="E4" s="76"/>
      <c r="F4" s="76"/>
      <c r="G4" s="76"/>
      <c r="H4" s="16"/>
      <c r="I4" s="75" t="s">
        <v>5</v>
      </c>
      <c r="J4" s="76"/>
      <c r="K4" s="76"/>
      <c r="L4" s="76"/>
      <c r="M4" s="76"/>
      <c r="N4" s="76"/>
      <c r="O4" s="76"/>
      <c r="P4" s="83" t="s">
        <v>6</v>
      </c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78" ht="21" customHeight="1">
      <c r="A5" s="1"/>
      <c r="B5" s="75" t="s">
        <v>7</v>
      </c>
      <c r="C5" s="76"/>
      <c r="D5" s="80" t="s">
        <v>8</v>
      </c>
      <c r="E5" s="76"/>
      <c r="F5" s="76"/>
      <c r="G5" s="76"/>
      <c r="H5" s="18"/>
      <c r="I5" s="75" t="s">
        <v>9</v>
      </c>
      <c r="J5" s="76"/>
      <c r="K5" s="76"/>
      <c r="L5" s="76"/>
      <c r="M5" s="76"/>
      <c r="N5" s="76"/>
      <c r="O5" s="76"/>
      <c r="P5" s="86">
        <v>43171</v>
      </c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78" ht="21" customHeight="1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78" ht="21" customHeight="1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78" ht="17.25" customHeight="1">
      <c r="A8" s="24"/>
      <c r="B8" s="78" t="s">
        <v>10</v>
      </c>
      <c r="C8" s="78" t="s">
        <v>11</v>
      </c>
      <c r="D8" s="78" t="s">
        <v>12</v>
      </c>
      <c r="E8" s="78" t="s">
        <v>13</v>
      </c>
      <c r="F8" s="78" t="s">
        <v>14</v>
      </c>
      <c r="G8" s="78" t="s">
        <v>15</v>
      </c>
      <c r="H8" s="78" t="s">
        <v>16</v>
      </c>
      <c r="I8" s="84" t="s">
        <v>17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90" t="s">
        <v>18</v>
      </c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87" t="s">
        <v>19</v>
      </c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82" t="s">
        <v>20</v>
      </c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</row>
    <row r="9" spans="1:78" ht="17.25" customHeight="1">
      <c r="A9" s="25"/>
      <c r="B9" s="79"/>
      <c r="C9" s="79"/>
      <c r="D9" s="79"/>
      <c r="E9" s="79"/>
      <c r="F9" s="79"/>
      <c r="G9" s="79"/>
      <c r="H9" s="79"/>
      <c r="I9" s="70" t="s">
        <v>21</v>
      </c>
      <c r="J9" s="71"/>
      <c r="K9" s="71"/>
      <c r="L9" s="71"/>
      <c r="M9" s="72"/>
      <c r="N9" s="70" t="s">
        <v>22</v>
      </c>
      <c r="O9" s="71"/>
      <c r="P9" s="71"/>
      <c r="Q9" s="71"/>
      <c r="R9" s="72"/>
      <c r="S9" s="70" t="s">
        <v>23</v>
      </c>
      <c r="T9" s="71"/>
      <c r="U9" s="71"/>
      <c r="V9" s="71"/>
      <c r="W9" s="72"/>
      <c r="X9" s="85" t="s">
        <v>24</v>
      </c>
      <c r="Y9" s="71"/>
      <c r="Z9" s="71"/>
      <c r="AA9" s="71"/>
      <c r="AB9" s="72"/>
      <c r="AC9" s="85" t="s">
        <v>25</v>
      </c>
      <c r="AD9" s="71"/>
      <c r="AE9" s="71"/>
      <c r="AF9" s="71"/>
      <c r="AG9" s="72"/>
      <c r="AH9" s="85" t="s">
        <v>26</v>
      </c>
      <c r="AI9" s="71"/>
      <c r="AJ9" s="71"/>
      <c r="AK9" s="71"/>
      <c r="AL9" s="72"/>
      <c r="AM9" s="81" t="s">
        <v>27</v>
      </c>
      <c r="AN9" s="71"/>
      <c r="AO9" s="71"/>
      <c r="AP9" s="71"/>
      <c r="AQ9" s="72"/>
      <c r="AR9" s="81" t="s">
        <v>28</v>
      </c>
      <c r="AS9" s="71"/>
      <c r="AT9" s="71"/>
      <c r="AU9" s="71"/>
      <c r="AV9" s="72"/>
      <c r="AW9" s="81" t="s">
        <v>29</v>
      </c>
      <c r="AX9" s="71"/>
      <c r="AY9" s="71"/>
      <c r="AZ9" s="71"/>
      <c r="BA9" s="72"/>
      <c r="BB9" s="77" t="s">
        <v>30</v>
      </c>
      <c r="BC9" s="71"/>
      <c r="BD9" s="71"/>
      <c r="BE9" s="71"/>
      <c r="BF9" s="72"/>
      <c r="BG9" s="77" t="s">
        <v>31</v>
      </c>
      <c r="BH9" s="71"/>
      <c r="BI9" s="71"/>
      <c r="BJ9" s="71"/>
      <c r="BK9" s="72"/>
      <c r="BL9" s="77" t="s">
        <v>32</v>
      </c>
      <c r="BM9" s="71"/>
      <c r="BN9" s="71"/>
      <c r="BO9" s="71"/>
      <c r="BP9" s="72"/>
      <c r="BQ9" s="77" t="s">
        <v>33</v>
      </c>
      <c r="BR9" s="71"/>
      <c r="BS9" s="71"/>
      <c r="BT9" s="71"/>
      <c r="BU9" s="72"/>
      <c r="BV9" s="77" t="s">
        <v>82</v>
      </c>
      <c r="BW9" s="71"/>
      <c r="BX9" s="71"/>
      <c r="BY9" s="71"/>
      <c r="BZ9" s="72"/>
    </row>
    <row r="10" spans="1:78" ht="17.25" customHeight="1">
      <c r="A10" s="26"/>
      <c r="B10" s="79"/>
      <c r="C10" s="79"/>
      <c r="D10" s="79"/>
      <c r="E10" s="79"/>
      <c r="F10" s="79"/>
      <c r="G10" s="79"/>
      <c r="H10" s="79"/>
      <c r="I10" s="27" t="s">
        <v>34</v>
      </c>
      <c r="J10" s="27" t="s">
        <v>35</v>
      </c>
      <c r="K10" s="27" t="s">
        <v>36</v>
      </c>
      <c r="L10" s="27" t="s">
        <v>37</v>
      </c>
      <c r="M10" s="27" t="s">
        <v>38</v>
      </c>
      <c r="N10" s="27" t="s">
        <v>34</v>
      </c>
      <c r="O10" s="27" t="s">
        <v>35</v>
      </c>
      <c r="P10" s="27" t="s">
        <v>36</v>
      </c>
      <c r="Q10" s="27" t="s">
        <v>37</v>
      </c>
      <c r="R10" s="27" t="s">
        <v>38</v>
      </c>
      <c r="S10" s="27" t="s">
        <v>34</v>
      </c>
      <c r="T10" s="27" t="s">
        <v>35</v>
      </c>
      <c r="U10" s="27" t="s">
        <v>36</v>
      </c>
      <c r="V10" s="27" t="s">
        <v>37</v>
      </c>
      <c r="W10" s="27" t="s">
        <v>38</v>
      </c>
      <c r="X10" s="28" t="s">
        <v>34</v>
      </c>
      <c r="Y10" s="28" t="s">
        <v>35</v>
      </c>
      <c r="Z10" s="28" t="s">
        <v>36</v>
      </c>
      <c r="AA10" s="28" t="s">
        <v>37</v>
      </c>
      <c r="AB10" s="28" t="s">
        <v>38</v>
      </c>
      <c r="AC10" s="28" t="s">
        <v>34</v>
      </c>
      <c r="AD10" s="28" t="s">
        <v>35</v>
      </c>
      <c r="AE10" s="28" t="s">
        <v>36</v>
      </c>
      <c r="AF10" s="28" t="s">
        <v>37</v>
      </c>
      <c r="AG10" s="28" t="s">
        <v>38</v>
      </c>
      <c r="AH10" s="28" t="s">
        <v>34</v>
      </c>
      <c r="AI10" s="28" t="s">
        <v>35</v>
      </c>
      <c r="AJ10" s="28" t="s">
        <v>36</v>
      </c>
      <c r="AK10" s="28" t="s">
        <v>37</v>
      </c>
      <c r="AL10" s="28" t="s">
        <v>38</v>
      </c>
      <c r="AM10" s="29" t="s">
        <v>34</v>
      </c>
      <c r="AN10" s="29" t="s">
        <v>35</v>
      </c>
      <c r="AO10" s="29" t="s">
        <v>36</v>
      </c>
      <c r="AP10" s="29" t="s">
        <v>37</v>
      </c>
      <c r="AQ10" s="29" t="s">
        <v>38</v>
      </c>
      <c r="AR10" s="29" t="s">
        <v>34</v>
      </c>
      <c r="AS10" s="29" t="s">
        <v>35</v>
      </c>
      <c r="AT10" s="29" t="s">
        <v>36</v>
      </c>
      <c r="AU10" s="29" t="s">
        <v>37</v>
      </c>
      <c r="AV10" s="29" t="s">
        <v>38</v>
      </c>
      <c r="AW10" s="29" t="s">
        <v>34</v>
      </c>
      <c r="AX10" s="29" t="s">
        <v>35</v>
      </c>
      <c r="AY10" s="29" t="s">
        <v>36</v>
      </c>
      <c r="AZ10" s="29" t="s">
        <v>37</v>
      </c>
      <c r="BA10" s="29" t="s">
        <v>38</v>
      </c>
      <c r="BB10" s="30" t="s">
        <v>34</v>
      </c>
      <c r="BC10" s="30" t="s">
        <v>35</v>
      </c>
      <c r="BD10" s="30" t="s">
        <v>36</v>
      </c>
      <c r="BE10" s="30" t="s">
        <v>37</v>
      </c>
      <c r="BF10" s="30" t="s">
        <v>38</v>
      </c>
      <c r="BG10" s="30" t="s">
        <v>34</v>
      </c>
      <c r="BH10" s="30" t="s">
        <v>35</v>
      </c>
      <c r="BI10" s="30" t="s">
        <v>36</v>
      </c>
      <c r="BJ10" s="30" t="s">
        <v>37</v>
      </c>
      <c r="BK10" s="30" t="s">
        <v>38</v>
      </c>
      <c r="BL10" s="30" t="s">
        <v>34</v>
      </c>
      <c r="BM10" s="30" t="s">
        <v>35</v>
      </c>
      <c r="BN10" s="30" t="s">
        <v>36</v>
      </c>
      <c r="BO10" s="30" t="s">
        <v>37</v>
      </c>
      <c r="BP10" s="30" t="s">
        <v>38</v>
      </c>
      <c r="BQ10" s="30" t="s">
        <v>34</v>
      </c>
      <c r="BR10" s="30" t="s">
        <v>35</v>
      </c>
      <c r="BS10" s="30" t="s">
        <v>36</v>
      </c>
      <c r="BT10" s="30" t="s">
        <v>37</v>
      </c>
      <c r="BU10" s="30" t="s">
        <v>38</v>
      </c>
      <c r="BV10" s="30" t="s">
        <v>34</v>
      </c>
      <c r="BW10" s="30" t="s">
        <v>35</v>
      </c>
      <c r="BX10" s="30" t="s">
        <v>36</v>
      </c>
      <c r="BY10" s="30" t="s">
        <v>37</v>
      </c>
      <c r="BZ10" s="30" t="s">
        <v>38</v>
      </c>
    </row>
    <row r="11" spans="1:78" ht="21" customHeight="1">
      <c r="A11" s="21"/>
      <c r="B11" s="31">
        <v>1</v>
      </c>
      <c r="C11" s="32" t="s">
        <v>39</v>
      </c>
      <c r="D11" s="33"/>
      <c r="E11" s="33"/>
      <c r="F11" s="33"/>
      <c r="G11" s="33"/>
      <c r="H11" s="33"/>
      <c r="I11" s="34"/>
      <c r="J11" s="35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</row>
    <row r="12" spans="1:78" ht="17.25" customHeight="1" outlineLevel="1">
      <c r="A12" s="37"/>
      <c r="B12" s="38">
        <v>1.1000000000000001</v>
      </c>
      <c r="C12" s="39" t="s">
        <v>40</v>
      </c>
      <c r="D12" s="40" t="s">
        <v>41</v>
      </c>
      <c r="E12" s="41">
        <v>46029</v>
      </c>
      <c r="F12" s="41">
        <v>46037</v>
      </c>
      <c r="G12" s="42">
        <f>DAYS360(E12,F12)</f>
        <v>8</v>
      </c>
      <c r="H12" s="43">
        <v>1</v>
      </c>
      <c r="I12" s="63"/>
      <c r="J12" s="63"/>
      <c r="K12" s="63"/>
      <c r="L12" s="63"/>
      <c r="M12" s="63"/>
      <c r="N12" s="63"/>
      <c r="O12" s="61"/>
      <c r="P12" s="61"/>
      <c r="Q12" s="63"/>
      <c r="R12" s="63"/>
      <c r="S12" s="61"/>
      <c r="T12" s="61"/>
      <c r="U12" s="46"/>
      <c r="V12" s="46"/>
      <c r="W12" s="46"/>
      <c r="X12" s="46"/>
      <c r="Y12" s="46"/>
      <c r="Z12" s="46"/>
      <c r="AA12" s="46"/>
      <c r="AB12" s="46"/>
      <c r="AC12" s="47"/>
      <c r="AD12" s="47"/>
      <c r="AE12" s="47"/>
      <c r="AF12" s="47"/>
      <c r="AG12" s="47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8"/>
      <c r="AT12" s="48"/>
      <c r="AU12" s="48"/>
      <c r="AV12" s="48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9"/>
      <c r="BH12" s="49"/>
      <c r="BI12" s="49"/>
      <c r="BJ12" s="49"/>
      <c r="BK12" s="49"/>
      <c r="BL12" s="46"/>
      <c r="BM12" s="46"/>
      <c r="BN12" s="46"/>
      <c r="BO12" s="46"/>
      <c r="BP12" s="50"/>
      <c r="BQ12" s="51"/>
      <c r="BR12" s="51"/>
      <c r="BS12" s="51"/>
      <c r="BT12" s="51"/>
      <c r="BU12" s="51"/>
      <c r="BV12" s="51"/>
      <c r="BW12" s="51"/>
      <c r="BX12" s="51"/>
      <c r="BY12" s="51"/>
      <c r="BZ12" s="51"/>
    </row>
    <row r="13" spans="1:78" ht="17.25" customHeight="1" outlineLevel="1">
      <c r="A13" s="37"/>
      <c r="B13" s="38">
        <v>1.2</v>
      </c>
      <c r="C13" s="40" t="s">
        <v>42</v>
      </c>
      <c r="D13" s="40" t="s">
        <v>43</v>
      </c>
      <c r="E13" s="41">
        <v>46029</v>
      </c>
      <c r="F13" s="41">
        <v>46037</v>
      </c>
      <c r="G13" s="42">
        <f>DAYS360(E13,F13)</f>
        <v>8</v>
      </c>
      <c r="H13" s="43">
        <v>1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1"/>
      <c r="T13" s="61"/>
      <c r="U13" s="46"/>
      <c r="V13" s="46"/>
      <c r="W13" s="51"/>
      <c r="X13" s="51"/>
      <c r="Y13" s="51"/>
      <c r="Z13" s="51"/>
      <c r="AA13" s="51"/>
      <c r="AB13" s="51"/>
      <c r="AC13" s="52"/>
      <c r="AD13" s="52"/>
      <c r="AE13" s="52"/>
      <c r="AF13" s="52"/>
      <c r="AG13" s="52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3"/>
      <c r="AS13" s="53"/>
      <c r="AT13" s="53"/>
      <c r="AU13" s="53"/>
      <c r="AV13" s="53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4"/>
      <c r="BH13" s="54"/>
      <c r="BI13" s="54"/>
      <c r="BJ13" s="54"/>
      <c r="BK13" s="54"/>
      <c r="BL13" s="51"/>
      <c r="BM13" s="51"/>
      <c r="BN13" s="51"/>
      <c r="BO13" s="51"/>
      <c r="BP13" s="55"/>
      <c r="BQ13" s="51"/>
      <c r="BR13" s="51"/>
      <c r="BS13" s="51"/>
      <c r="BT13" s="51"/>
      <c r="BU13" s="51"/>
      <c r="BV13" s="51"/>
      <c r="BW13" s="51"/>
      <c r="BX13" s="51"/>
      <c r="BY13" s="51"/>
      <c r="BZ13" s="51"/>
    </row>
    <row r="14" spans="1:78" ht="17.25" customHeight="1" outlineLevel="1">
      <c r="A14" s="37"/>
      <c r="B14" s="38">
        <v>1.3</v>
      </c>
      <c r="C14" s="40" t="s">
        <v>44</v>
      </c>
      <c r="D14" s="40" t="s">
        <v>45</v>
      </c>
      <c r="E14" s="41">
        <v>46029</v>
      </c>
      <c r="F14" s="41">
        <v>46037</v>
      </c>
      <c r="G14" s="42">
        <f>DAYS360(E14,F14)</f>
        <v>8</v>
      </c>
      <c r="H14" s="43">
        <v>1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1"/>
      <c r="T14" s="61"/>
      <c r="U14" s="46"/>
      <c r="V14" s="46"/>
      <c r="W14" s="51"/>
      <c r="X14" s="51"/>
      <c r="Y14" s="51"/>
      <c r="Z14" s="51"/>
      <c r="AA14" s="51"/>
      <c r="AB14" s="51"/>
      <c r="AC14" s="52"/>
      <c r="AD14" s="52"/>
      <c r="AE14" s="52"/>
      <c r="AF14" s="52"/>
      <c r="AG14" s="52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3"/>
      <c r="AS14" s="53"/>
      <c r="AT14" s="53"/>
      <c r="AU14" s="53"/>
      <c r="AV14" s="53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4"/>
      <c r="BH14" s="54"/>
      <c r="BI14" s="54"/>
      <c r="BJ14" s="54"/>
      <c r="BK14" s="54"/>
      <c r="BL14" s="51"/>
      <c r="BM14" s="51"/>
      <c r="BN14" s="51"/>
      <c r="BO14" s="51"/>
      <c r="BP14" s="55"/>
      <c r="BQ14" s="51"/>
      <c r="BR14" s="51"/>
      <c r="BS14" s="51"/>
      <c r="BT14" s="51"/>
      <c r="BU14" s="51"/>
      <c r="BV14" s="51"/>
      <c r="BW14" s="51"/>
      <c r="BX14" s="51"/>
      <c r="BY14" s="51"/>
      <c r="BZ14" s="51"/>
    </row>
    <row r="15" spans="1:78" ht="17.25" customHeight="1" outlineLevel="1">
      <c r="A15" s="37"/>
      <c r="B15" s="38">
        <v>1.4</v>
      </c>
      <c r="C15" s="40" t="s">
        <v>46</v>
      </c>
      <c r="D15" s="40" t="s">
        <v>47</v>
      </c>
      <c r="E15" s="41">
        <v>46029</v>
      </c>
      <c r="F15" s="41">
        <v>46037</v>
      </c>
      <c r="G15" s="42">
        <f>DAYS360(E15,F15)</f>
        <v>8</v>
      </c>
      <c r="H15" s="43">
        <v>1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1"/>
      <c r="T15" s="61"/>
      <c r="U15" s="46"/>
      <c r="V15" s="46"/>
      <c r="W15" s="51"/>
      <c r="X15" s="51"/>
      <c r="Y15" s="51"/>
      <c r="Z15" s="51"/>
      <c r="AA15" s="51"/>
      <c r="AB15" s="51"/>
      <c r="AC15" s="52"/>
      <c r="AD15" s="52"/>
      <c r="AE15" s="52"/>
      <c r="AF15" s="52"/>
      <c r="AG15" s="52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3"/>
      <c r="AS15" s="53"/>
      <c r="AT15" s="53"/>
      <c r="AU15" s="53"/>
      <c r="AV15" s="53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4"/>
      <c r="BH15" s="54"/>
      <c r="BI15" s="54"/>
      <c r="BJ15" s="54"/>
      <c r="BK15" s="54"/>
      <c r="BL15" s="51"/>
      <c r="BM15" s="51"/>
      <c r="BN15" s="51"/>
      <c r="BO15" s="51"/>
      <c r="BP15" s="55"/>
      <c r="BQ15" s="51"/>
      <c r="BR15" s="51"/>
      <c r="BS15" s="51"/>
      <c r="BT15" s="51"/>
      <c r="BU15" s="51"/>
      <c r="BV15" s="51"/>
      <c r="BW15" s="51"/>
      <c r="BX15" s="51"/>
      <c r="BY15" s="51"/>
      <c r="BZ15" s="51"/>
    </row>
    <row r="16" spans="1:78" ht="17.25" customHeight="1" outlineLevel="1">
      <c r="A16" s="37"/>
      <c r="B16" s="38">
        <v>1.5</v>
      </c>
      <c r="C16" s="40" t="s">
        <v>48</v>
      </c>
      <c r="D16" s="40" t="s">
        <v>49</v>
      </c>
      <c r="E16" s="41">
        <v>46029</v>
      </c>
      <c r="F16" s="41">
        <v>46037</v>
      </c>
      <c r="G16" s="42">
        <f>DAYS360(E16,F16)</f>
        <v>8</v>
      </c>
      <c r="H16" s="43">
        <v>1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1"/>
      <c r="T16" s="61"/>
      <c r="U16" s="46"/>
      <c r="V16" s="46"/>
      <c r="W16" s="51"/>
      <c r="X16" s="51"/>
      <c r="Y16" s="51"/>
      <c r="Z16" s="51"/>
      <c r="AA16" s="51"/>
      <c r="AB16" s="51"/>
      <c r="AC16" s="52"/>
      <c r="AD16" s="52"/>
      <c r="AE16" s="52"/>
      <c r="AF16" s="52"/>
      <c r="AG16" s="52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3"/>
      <c r="AS16" s="53"/>
      <c r="AT16" s="53"/>
      <c r="AU16" s="53"/>
      <c r="AV16" s="53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4"/>
      <c r="BH16" s="54"/>
      <c r="BI16" s="54"/>
      <c r="BJ16" s="54"/>
      <c r="BK16" s="54"/>
      <c r="BL16" s="51"/>
      <c r="BM16" s="51"/>
      <c r="BN16" s="51"/>
      <c r="BO16" s="51"/>
      <c r="BP16" s="55"/>
      <c r="BQ16" s="51"/>
      <c r="BR16" s="51"/>
      <c r="BS16" s="51"/>
      <c r="BT16" s="51"/>
      <c r="BU16" s="51"/>
      <c r="BV16" s="51"/>
      <c r="BW16" s="51"/>
      <c r="BX16" s="51"/>
      <c r="BY16" s="51"/>
      <c r="BZ16" s="51"/>
    </row>
    <row r="17" spans="1:78" ht="21" customHeight="1">
      <c r="A17" s="21"/>
      <c r="B17" s="31">
        <v>2</v>
      </c>
      <c r="C17" s="32" t="s">
        <v>50</v>
      </c>
      <c r="D17" s="33"/>
      <c r="E17" s="33"/>
      <c r="F17" s="33"/>
      <c r="G17" s="33"/>
      <c r="H17" s="33"/>
      <c r="I17" s="34"/>
      <c r="J17" s="35"/>
      <c r="K17" s="36"/>
      <c r="L17" s="36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</row>
    <row r="18" spans="1:78" ht="17.25" customHeight="1" outlineLevel="1">
      <c r="A18" s="37"/>
      <c r="B18" s="38">
        <v>2.1</v>
      </c>
      <c r="C18" s="39" t="s">
        <v>51</v>
      </c>
      <c r="D18" s="40" t="s">
        <v>45</v>
      </c>
      <c r="E18" s="41">
        <v>46037</v>
      </c>
      <c r="F18" s="41">
        <v>46048</v>
      </c>
      <c r="G18" s="42">
        <v>11</v>
      </c>
      <c r="H18" s="43">
        <v>1</v>
      </c>
      <c r="I18" s="51"/>
      <c r="J18" s="51"/>
      <c r="K18" s="51"/>
      <c r="L18" s="51"/>
      <c r="M18" s="51"/>
      <c r="N18" s="62"/>
      <c r="O18" s="62"/>
      <c r="P18" s="62"/>
      <c r="Q18" s="62"/>
      <c r="R18" s="62"/>
      <c r="S18" s="62"/>
      <c r="T18" s="62"/>
      <c r="U18" s="62"/>
      <c r="V18" s="62"/>
      <c r="W18" s="61"/>
      <c r="X18" s="63"/>
      <c r="Y18" s="63"/>
      <c r="Z18" s="63"/>
      <c r="AA18" s="51"/>
      <c r="AB18" s="51"/>
      <c r="AC18" s="47"/>
      <c r="AD18" s="47"/>
      <c r="AE18" s="47"/>
      <c r="AF18" s="47"/>
      <c r="AG18" s="47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8"/>
      <c r="AT18" s="48"/>
      <c r="AU18" s="48"/>
      <c r="AV18" s="48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9"/>
      <c r="BH18" s="49"/>
      <c r="BI18" s="49"/>
      <c r="BJ18" s="49"/>
      <c r="BK18" s="49"/>
      <c r="BL18" s="46"/>
      <c r="BM18" s="46"/>
      <c r="BN18" s="46"/>
      <c r="BO18" s="46"/>
      <c r="BP18" s="50"/>
      <c r="BQ18" s="55"/>
      <c r="BR18" s="55"/>
      <c r="BS18" s="55"/>
      <c r="BT18" s="55"/>
      <c r="BU18" s="55"/>
      <c r="BV18" s="55"/>
      <c r="BW18" s="55"/>
      <c r="BX18" s="55"/>
      <c r="BY18" s="55"/>
      <c r="BZ18" s="55"/>
    </row>
    <row r="19" spans="1:78" ht="17.25" customHeight="1" outlineLevel="1">
      <c r="A19" s="37"/>
      <c r="B19" s="38">
        <v>2.2000000000000002</v>
      </c>
      <c r="C19" s="40" t="s">
        <v>52</v>
      </c>
      <c r="D19" s="40" t="s">
        <v>43</v>
      </c>
      <c r="E19" s="41">
        <v>46037</v>
      </c>
      <c r="F19" s="41">
        <v>46048</v>
      </c>
      <c r="G19" s="42">
        <v>11</v>
      </c>
      <c r="H19" s="43">
        <v>1</v>
      </c>
      <c r="I19" s="51"/>
      <c r="J19" s="51"/>
      <c r="K19" s="51"/>
      <c r="L19" s="51"/>
      <c r="M19" s="51"/>
      <c r="N19" s="62"/>
      <c r="O19" s="62"/>
      <c r="P19" s="62"/>
      <c r="Q19" s="62"/>
      <c r="R19" s="62"/>
      <c r="S19" s="62"/>
      <c r="T19" s="62"/>
      <c r="U19" s="62"/>
      <c r="V19" s="62"/>
      <c r="W19" s="63"/>
      <c r="X19" s="63"/>
      <c r="Y19" s="63"/>
      <c r="Z19" s="63"/>
      <c r="AA19" s="51"/>
      <c r="AB19" s="51"/>
      <c r="AC19" s="47"/>
      <c r="AD19" s="47"/>
      <c r="AE19" s="47"/>
      <c r="AF19" s="47"/>
      <c r="AG19" s="47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3"/>
      <c r="AS19" s="53"/>
      <c r="AT19" s="53"/>
      <c r="AU19" s="53"/>
      <c r="AV19" s="53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4"/>
      <c r="BH19" s="54"/>
      <c r="BI19" s="54"/>
      <c r="BJ19" s="54"/>
      <c r="BK19" s="54"/>
      <c r="BL19" s="51"/>
      <c r="BM19" s="51"/>
      <c r="BN19" s="51"/>
      <c r="BO19" s="51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</row>
    <row r="20" spans="1:78" ht="17.25" customHeight="1" outlineLevel="1">
      <c r="A20" s="37"/>
      <c r="B20" s="38">
        <v>2.2999999999999998</v>
      </c>
      <c r="C20" s="40" t="s">
        <v>53</v>
      </c>
      <c r="D20" s="40" t="s">
        <v>54</v>
      </c>
      <c r="E20" s="41">
        <v>46037</v>
      </c>
      <c r="F20" s="41">
        <v>46048</v>
      </c>
      <c r="G20" s="42">
        <v>11</v>
      </c>
      <c r="H20" s="43">
        <v>1</v>
      </c>
      <c r="I20" s="51"/>
      <c r="J20" s="51"/>
      <c r="K20" s="51"/>
      <c r="L20" s="51"/>
      <c r="M20" s="51"/>
      <c r="N20" s="62"/>
      <c r="O20" s="62"/>
      <c r="P20" s="62"/>
      <c r="Q20" s="62"/>
      <c r="R20" s="62"/>
      <c r="S20" s="62"/>
      <c r="T20" s="62"/>
      <c r="U20" s="62"/>
      <c r="V20" s="62"/>
      <c r="W20" s="63"/>
      <c r="X20" s="63"/>
      <c r="Y20" s="63"/>
      <c r="Z20" s="63"/>
      <c r="AA20" s="51"/>
      <c r="AB20" s="51"/>
      <c r="AC20" s="52"/>
      <c r="AD20" s="52"/>
      <c r="AE20" s="52"/>
      <c r="AF20" s="52"/>
      <c r="AG20" s="52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3"/>
      <c r="AS20" s="53"/>
      <c r="AT20" s="53"/>
      <c r="AU20" s="53"/>
      <c r="AV20" s="53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4"/>
      <c r="BH20" s="54"/>
      <c r="BI20" s="54"/>
      <c r="BJ20" s="54"/>
      <c r="BK20" s="54"/>
      <c r="BL20" s="51"/>
      <c r="BM20" s="51"/>
      <c r="BN20" s="51"/>
      <c r="BO20" s="51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</row>
    <row r="21" spans="1:78" ht="17.25" customHeight="1" outlineLevel="1">
      <c r="A21" s="37"/>
      <c r="B21" s="38">
        <v>2.4</v>
      </c>
      <c r="C21" s="40" t="s">
        <v>55</v>
      </c>
      <c r="D21" s="40" t="s">
        <v>45</v>
      </c>
      <c r="E21" s="41">
        <v>46037</v>
      </c>
      <c r="F21" s="41">
        <v>46048</v>
      </c>
      <c r="G21" s="42">
        <v>11</v>
      </c>
      <c r="H21" s="43">
        <v>1</v>
      </c>
      <c r="I21" s="51"/>
      <c r="J21" s="51"/>
      <c r="K21" s="51"/>
      <c r="L21" s="51"/>
      <c r="M21" s="51"/>
      <c r="N21" s="62"/>
      <c r="O21" s="62"/>
      <c r="P21" s="62"/>
      <c r="Q21" s="62"/>
      <c r="R21" s="62"/>
      <c r="S21" s="62"/>
      <c r="T21" s="62"/>
      <c r="U21" s="62"/>
      <c r="V21" s="62"/>
      <c r="W21" s="63"/>
      <c r="X21" s="63"/>
      <c r="Y21" s="63"/>
      <c r="Z21" s="63"/>
      <c r="AA21" s="51"/>
      <c r="AB21" s="51"/>
      <c r="AC21" s="52"/>
      <c r="AD21" s="52"/>
      <c r="AE21" s="52"/>
      <c r="AF21" s="52"/>
      <c r="AG21" s="52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3"/>
      <c r="AS21" s="53"/>
      <c r="AT21" s="53"/>
      <c r="AU21" s="53"/>
      <c r="AV21" s="53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4"/>
      <c r="BH21" s="54"/>
      <c r="BI21" s="54"/>
      <c r="BJ21" s="54"/>
      <c r="BK21" s="54"/>
      <c r="BL21" s="51"/>
      <c r="BM21" s="51"/>
      <c r="BN21" s="51"/>
      <c r="BO21" s="51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</row>
    <row r="22" spans="1:78" ht="21" customHeight="1">
      <c r="A22" s="21"/>
      <c r="B22" s="31">
        <v>3</v>
      </c>
      <c r="C22" s="32" t="s">
        <v>56</v>
      </c>
      <c r="D22" s="33"/>
      <c r="E22" s="33"/>
      <c r="F22" s="33"/>
      <c r="G22" s="33"/>
      <c r="H22" s="33"/>
      <c r="I22" s="34"/>
      <c r="J22" s="35"/>
      <c r="K22" s="36"/>
      <c r="L22" s="36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</row>
    <row r="23" spans="1:78" ht="17.25" customHeight="1" outlineLevel="1">
      <c r="A23" s="37"/>
      <c r="B23" s="38">
        <v>3.1</v>
      </c>
      <c r="C23" s="40" t="s">
        <v>57</v>
      </c>
      <c r="D23" s="40" t="s">
        <v>41</v>
      </c>
      <c r="E23" s="41">
        <v>46037</v>
      </c>
      <c r="F23" s="41">
        <v>46063</v>
      </c>
      <c r="G23" s="42">
        <f>F23-E23</f>
        <v>26</v>
      </c>
      <c r="H23" s="43">
        <v>1</v>
      </c>
      <c r="I23" s="56"/>
      <c r="J23" s="57"/>
      <c r="K23" s="46"/>
      <c r="L23" s="46"/>
      <c r="M23" s="46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3"/>
      <c r="AA23" s="63"/>
      <c r="AB23" s="63"/>
      <c r="AC23" s="62"/>
      <c r="AD23" s="62"/>
      <c r="AE23" s="62"/>
      <c r="AF23" s="62"/>
      <c r="AG23" s="62"/>
      <c r="AH23" s="61"/>
      <c r="AI23" s="61"/>
      <c r="AJ23" s="61"/>
      <c r="AK23" s="62"/>
      <c r="AL23" s="61"/>
      <c r="AM23" s="46"/>
      <c r="AN23" s="46"/>
      <c r="AO23" s="46"/>
      <c r="AP23" s="46"/>
      <c r="AQ23" s="46"/>
      <c r="AR23" s="48"/>
      <c r="AS23" s="48"/>
      <c r="AT23" s="48"/>
      <c r="AU23" s="48"/>
      <c r="AV23" s="48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9"/>
      <c r="BH23" s="49"/>
      <c r="BI23" s="49"/>
      <c r="BJ23" s="49"/>
      <c r="BK23" s="49"/>
      <c r="BL23" s="46"/>
      <c r="BM23" s="46"/>
      <c r="BN23" s="46"/>
      <c r="BO23" s="46"/>
      <c r="BP23" s="50"/>
      <c r="BQ23" s="51"/>
      <c r="BR23" s="51"/>
      <c r="BS23" s="51"/>
      <c r="BT23" s="51"/>
      <c r="BU23" s="51"/>
      <c r="BV23" s="51"/>
      <c r="BW23" s="51"/>
      <c r="BX23" s="51"/>
      <c r="BY23" s="51"/>
      <c r="BZ23" s="51"/>
    </row>
    <row r="24" spans="1:78" ht="17.25" customHeight="1" outlineLevel="1">
      <c r="A24" s="37"/>
      <c r="B24" s="38">
        <v>3.2</v>
      </c>
      <c r="C24" s="40" t="s">
        <v>58</v>
      </c>
      <c r="D24" s="40" t="s">
        <v>54</v>
      </c>
      <c r="E24" s="41">
        <v>46037</v>
      </c>
      <c r="F24" s="41">
        <v>46053</v>
      </c>
      <c r="G24" s="42">
        <f>F24-E24</f>
        <v>16</v>
      </c>
      <c r="H24" s="43">
        <v>1</v>
      </c>
      <c r="I24" s="58"/>
      <c r="J24" s="59"/>
      <c r="K24" s="51"/>
      <c r="L24" s="51"/>
      <c r="M24" s="51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3"/>
      <c r="AA24" s="63"/>
      <c r="AB24" s="63"/>
      <c r="AC24" s="63"/>
      <c r="AD24" s="63"/>
      <c r="AE24" s="63"/>
      <c r="AF24" s="52"/>
      <c r="AG24" s="52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3"/>
      <c r="AS24" s="53"/>
      <c r="AT24" s="53"/>
      <c r="AU24" s="53"/>
      <c r="AV24" s="53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4"/>
      <c r="BH24" s="54"/>
      <c r="BI24" s="54"/>
      <c r="BJ24" s="54"/>
      <c r="BK24" s="54"/>
      <c r="BL24" s="51"/>
      <c r="BM24" s="51"/>
      <c r="BN24" s="51"/>
      <c r="BO24" s="51"/>
      <c r="BP24" s="55"/>
      <c r="BQ24" s="51"/>
      <c r="BR24" s="51"/>
      <c r="BS24" s="51"/>
      <c r="BT24" s="51"/>
      <c r="BU24" s="51"/>
      <c r="BV24" s="51"/>
      <c r="BW24" s="51"/>
      <c r="BX24" s="51"/>
      <c r="BY24" s="51"/>
      <c r="BZ24" s="51"/>
    </row>
    <row r="25" spans="1:78" ht="26.5" customHeight="1" outlineLevel="1">
      <c r="A25" s="37"/>
      <c r="B25" s="38">
        <v>3.3</v>
      </c>
      <c r="C25" s="40" t="s">
        <v>59</v>
      </c>
      <c r="D25" s="40" t="s">
        <v>60</v>
      </c>
      <c r="E25" s="41">
        <v>46037</v>
      </c>
      <c r="F25" s="41">
        <v>46063</v>
      </c>
      <c r="G25" s="42">
        <f>F25-E25</f>
        <v>26</v>
      </c>
      <c r="H25" s="43">
        <v>1</v>
      </c>
      <c r="I25" s="58"/>
      <c r="J25" s="59"/>
      <c r="K25" s="51"/>
      <c r="L25" s="51"/>
      <c r="M25" s="51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3"/>
      <c r="AA25" s="63"/>
      <c r="AB25" s="63"/>
      <c r="AC25" s="62"/>
      <c r="AD25" s="62"/>
      <c r="AE25" s="62"/>
      <c r="AF25" s="62"/>
      <c r="AG25" s="62"/>
      <c r="AH25" s="63"/>
      <c r="AI25" s="63"/>
      <c r="AJ25" s="63"/>
      <c r="AK25" s="62"/>
      <c r="AL25" s="63"/>
      <c r="AM25" s="51"/>
      <c r="AN25" s="51"/>
      <c r="AO25" s="51"/>
      <c r="AP25" s="51"/>
      <c r="AQ25" s="51"/>
      <c r="AR25" s="53"/>
      <c r="AS25" s="53"/>
      <c r="AT25" s="53"/>
      <c r="AU25" s="53"/>
      <c r="AV25" s="53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4"/>
      <c r="BH25" s="54"/>
      <c r="BI25" s="54"/>
      <c r="BJ25" s="54"/>
      <c r="BK25" s="54"/>
      <c r="BL25" s="51"/>
      <c r="BM25" s="51"/>
      <c r="BN25" s="51"/>
      <c r="BO25" s="51"/>
      <c r="BP25" s="55"/>
      <c r="BQ25" s="51"/>
      <c r="BR25" s="51"/>
      <c r="BS25" s="51"/>
      <c r="BT25" s="51"/>
      <c r="BU25" s="51"/>
      <c r="BV25" s="51"/>
      <c r="BW25" s="51"/>
      <c r="BX25" s="51"/>
      <c r="BY25" s="51"/>
      <c r="BZ25" s="51"/>
    </row>
    <row r="26" spans="1:78" ht="17.25" customHeight="1" outlineLevel="1">
      <c r="A26" s="37"/>
      <c r="B26" s="38">
        <v>3.4</v>
      </c>
      <c r="C26" s="40" t="s">
        <v>61</v>
      </c>
      <c r="D26" s="40" t="s">
        <v>62</v>
      </c>
      <c r="E26" s="41">
        <v>46037</v>
      </c>
      <c r="F26" s="41">
        <v>46053</v>
      </c>
      <c r="G26" s="42">
        <f>F26-E26</f>
        <v>16</v>
      </c>
      <c r="H26" s="43">
        <v>1</v>
      </c>
      <c r="I26" s="58"/>
      <c r="J26" s="59"/>
      <c r="K26" s="51"/>
      <c r="L26" s="51"/>
      <c r="M26" s="51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3"/>
      <c r="AA26" s="63"/>
      <c r="AB26" s="63"/>
      <c r="AC26" s="63"/>
      <c r="AD26" s="63"/>
      <c r="AE26" s="63"/>
      <c r="AF26" s="52"/>
      <c r="AG26" s="52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3"/>
      <c r="AS26" s="53"/>
      <c r="AT26" s="53"/>
      <c r="AU26" s="53"/>
      <c r="AV26" s="53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4"/>
      <c r="BH26" s="54"/>
      <c r="BI26" s="54"/>
      <c r="BJ26" s="54"/>
      <c r="BK26" s="54"/>
      <c r="BL26" s="51"/>
      <c r="BM26" s="51"/>
      <c r="BN26" s="51"/>
      <c r="BO26" s="51"/>
      <c r="BP26" s="55"/>
      <c r="BQ26" s="51"/>
      <c r="BR26" s="51"/>
      <c r="BS26" s="51"/>
      <c r="BT26" s="51"/>
      <c r="BU26" s="51"/>
      <c r="BV26" s="51"/>
      <c r="BW26" s="51"/>
      <c r="BX26" s="51"/>
      <c r="BY26" s="51"/>
      <c r="BZ26" s="51"/>
    </row>
    <row r="27" spans="1:78" ht="21" customHeight="1">
      <c r="A27" s="21"/>
      <c r="B27" s="31">
        <v>4</v>
      </c>
      <c r="C27" s="32" t="s">
        <v>63</v>
      </c>
      <c r="D27" s="33"/>
      <c r="E27" s="33"/>
      <c r="F27" s="33"/>
      <c r="G27" s="33"/>
      <c r="H27" s="33"/>
      <c r="I27" s="34"/>
      <c r="J27" s="35"/>
      <c r="K27" s="36"/>
      <c r="L27" s="36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</row>
    <row r="28" spans="1:78" ht="17.25" customHeight="1" outlineLevel="1">
      <c r="A28" s="37"/>
      <c r="B28" s="38">
        <v>4.2</v>
      </c>
      <c r="C28" s="40" t="s">
        <v>64</v>
      </c>
      <c r="D28" s="40" t="s">
        <v>65</v>
      </c>
      <c r="E28" s="41">
        <v>46029</v>
      </c>
      <c r="F28" s="41">
        <v>46037</v>
      </c>
      <c r="G28" s="42">
        <f>F28-E28</f>
        <v>8</v>
      </c>
      <c r="H28" s="43">
        <v>1</v>
      </c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3"/>
      <c r="T28" s="63"/>
      <c r="U28" s="51"/>
      <c r="V28" s="51"/>
      <c r="W28" s="51"/>
      <c r="X28" s="51"/>
      <c r="Y28" s="51"/>
      <c r="Z28" s="51"/>
      <c r="AA28" s="51"/>
      <c r="AB28" s="51"/>
      <c r="AC28" s="52"/>
      <c r="AD28" s="52"/>
      <c r="AE28" s="52"/>
      <c r="AF28" s="52"/>
      <c r="AG28" s="52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3"/>
      <c r="AS28" s="53"/>
      <c r="AT28" s="53"/>
      <c r="AU28" s="53"/>
      <c r="AV28" s="53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4"/>
      <c r="BH28" s="54"/>
      <c r="BI28" s="54"/>
      <c r="BJ28" s="54"/>
      <c r="BK28" s="54"/>
      <c r="BL28" s="51"/>
      <c r="BM28" s="51"/>
      <c r="BN28" s="51"/>
      <c r="BO28" s="51"/>
      <c r="BP28" s="55"/>
      <c r="BQ28" s="51"/>
      <c r="BR28" s="51"/>
      <c r="BS28" s="51"/>
      <c r="BT28" s="51"/>
      <c r="BU28" s="51"/>
      <c r="BV28" s="51"/>
      <c r="BW28" s="51"/>
      <c r="BX28" s="51"/>
      <c r="BY28" s="51"/>
      <c r="BZ28" s="51"/>
    </row>
    <row r="29" spans="1:78" ht="29.5" customHeight="1" outlineLevel="1">
      <c r="A29" s="37"/>
      <c r="B29" s="38">
        <v>4.0999999999999996</v>
      </c>
      <c r="C29" s="40" t="s">
        <v>66</v>
      </c>
      <c r="D29" s="40" t="s">
        <v>67</v>
      </c>
      <c r="E29" s="41">
        <v>46068</v>
      </c>
      <c r="F29" s="41">
        <v>46096</v>
      </c>
      <c r="G29" s="42">
        <f>F29-E29</f>
        <v>28</v>
      </c>
      <c r="H29" s="43">
        <v>0.8</v>
      </c>
      <c r="I29" s="56"/>
      <c r="J29" s="57"/>
      <c r="K29" s="46"/>
      <c r="L29" s="46"/>
      <c r="M29" s="46"/>
      <c r="N29" s="45"/>
      <c r="O29" s="45"/>
      <c r="P29" s="45"/>
      <c r="Q29" s="45"/>
      <c r="R29" s="45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7"/>
      <c r="AD29" s="47"/>
      <c r="AE29" s="47"/>
      <c r="AF29" s="47"/>
      <c r="AG29" s="47"/>
      <c r="AH29" s="46"/>
      <c r="AI29" s="46"/>
      <c r="AJ29" s="46"/>
      <c r="AK29" s="93"/>
      <c r="AL29" s="46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65"/>
      <c r="BG29" s="66"/>
      <c r="BH29" s="66"/>
      <c r="BI29" s="66"/>
      <c r="BJ29" s="49"/>
      <c r="BK29" s="49"/>
      <c r="BL29" s="46"/>
      <c r="BM29" s="46"/>
      <c r="BN29" s="46"/>
      <c r="BO29" s="46"/>
      <c r="BP29" s="50"/>
      <c r="BQ29" s="51"/>
      <c r="BR29" s="51"/>
      <c r="BS29" s="51"/>
      <c r="BT29" s="51"/>
      <c r="BU29" s="51"/>
      <c r="BV29" s="51"/>
      <c r="BW29" s="51"/>
      <c r="BX29" s="51"/>
      <c r="BY29" s="51"/>
      <c r="BZ29" s="51"/>
    </row>
    <row r="30" spans="1:78" ht="25" customHeight="1" outlineLevel="1">
      <c r="A30" s="37"/>
      <c r="B30" s="38">
        <v>4.3</v>
      </c>
      <c r="C30" s="40" t="s">
        <v>68</v>
      </c>
      <c r="D30" s="40" t="s">
        <v>67</v>
      </c>
      <c r="E30" s="41">
        <v>46096</v>
      </c>
      <c r="F30" s="41">
        <v>46103</v>
      </c>
      <c r="G30" s="42">
        <f>F30-E30</f>
        <v>7</v>
      </c>
      <c r="H30" s="60">
        <v>0</v>
      </c>
      <c r="I30" s="58"/>
      <c r="J30" s="59"/>
      <c r="K30" s="51"/>
      <c r="L30" s="51"/>
      <c r="M30" s="51"/>
      <c r="N30" s="45"/>
      <c r="O30" s="45"/>
      <c r="P30" s="45"/>
      <c r="Q30" s="45"/>
      <c r="R30" s="45"/>
      <c r="S30" s="46"/>
      <c r="T30" s="46"/>
      <c r="U30" s="46"/>
      <c r="V30" s="46"/>
      <c r="W30" s="51"/>
      <c r="X30" s="51"/>
      <c r="Y30" s="51"/>
      <c r="Z30" s="51"/>
      <c r="AA30" s="51"/>
      <c r="AB30" s="51"/>
      <c r="AC30" s="52"/>
      <c r="AD30" s="52"/>
      <c r="AE30" s="52"/>
      <c r="AF30" s="52"/>
      <c r="AG30" s="52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3"/>
      <c r="AS30" s="53"/>
      <c r="AT30" s="53"/>
      <c r="AU30" s="53"/>
      <c r="AV30" s="53"/>
      <c r="AW30" s="51"/>
      <c r="AX30" s="51"/>
      <c r="AY30" s="51"/>
      <c r="AZ30" s="51"/>
      <c r="BA30" s="51"/>
      <c r="BB30" s="51"/>
      <c r="BC30" s="51"/>
      <c r="BD30" s="51"/>
      <c r="BE30" s="92"/>
      <c r="BF30" s="51"/>
      <c r="BG30" s="67"/>
      <c r="BH30" s="67"/>
      <c r="BI30" s="67"/>
      <c r="BJ30" s="67"/>
      <c r="BK30" s="65"/>
      <c r="BL30" s="67"/>
      <c r="BM30" s="67"/>
      <c r="BN30" s="67"/>
      <c r="BO30" s="51"/>
      <c r="BP30" s="55"/>
      <c r="BQ30" s="51"/>
      <c r="BR30" s="51"/>
      <c r="BS30" s="51"/>
      <c r="BT30" s="51"/>
      <c r="BU30" s="51"/>
      <c r="BV30" s="51"/>
      <c r="BW30" s="51"/>
      <c r="BX30" s="51"/>
      <c r="BY30" s="51"/>
      <c r="BZ30" s="51"/>
    </row>
    <row r="31" spans="1:78" ht="17.25" customHeight="1" outlineLevel="1">
      <c r="A31" s="37"/>
      <c r="B31" s="38">
        <v>4.4000000000000004</v>
      </c>
      <c r="C31" s="40" t="s">
        <v>69</v>
      </c>
      <c r="D31" s="40" t="s">
        <v>41</v>
      </c>
      <c r="E31" s="41">
        <v>46103</v>
      </c>
      <c r="F31" s="41">
        <v>46112</v>
      </c>
      <c r="G31" s="42">
        <f>F31-E31</f>
        <v>9</v>
      </c>
      <c r="H31" s="43">
        <v>0</v>
      </c>
      <c r="I31" s="51"/>
      <c r="J31" s="51"/>
      <c r="K31" s="51"/>
      <c r="L31" s="51"/>
      <c r="M31" s="51"/>
      <c r="N31" s="45"/>
      <c r="O31" s="45"/>
      <c r="P31" s="45"/>
      <c r="Q31" s="45"/>
      <c r="R31" s="45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2"/>
      <c r="AD31" s="52"/>
      <c r="AE31" s="52"/>
      <c r="AF31" s="52"/>
      <c r="AG31" s="52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3"/>
      <c r="AS31" s="53"/>
      <c r="AT31" s="53"/>
      <c r="AU31" s="53"/>
      <c r="AV31" s="53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49"/>
      <c r="BH31" s="49"/>
      <c r="BI31" s="49"/>
      <c r="BJ31" s="49"/>
      <c r="BK31" s="49"/>
      <c r="BL31" s="51"/>
      <c r="BM31" s="51"/>
      <c r="BN31" s="51"/>
      <c r="BO31" s="67"/>
      <c r="BP31" s="67"/>
      <c r="BQ31" s="67"/>
      <c r="BR31" s="67"/>
      <c r="BS31" s="67"/>
      <c r="BT31" s="67"/>
      <c r="BU31" s="67"/>
      <c r="BV31" s="51"/>
      <c r="BW31" s="51"/>
      <c r="BX31" s="51"/>
      <c r="BY31" s="51"/>
      <c r="BZ31" s="51"/>
    </row>
    <row r="32" spans="1:78" ht="21" customHeight="1">
      <c r="A32" s="21"/>
      <c r="B32" s="31">
        <v>5</v>
      </c>
      <c r="C32" s="32" t="s">
        <v>70</v>
      </c>
      <c r="D32" s="33"/>
      <c r="E32" s="33"/>
      <c r="F32" s="33"/>
      <c r="G32" s="33"/>
      <c r="H32" s="33"/>
      <c r="I32" s="34"/>
      <c r="J32" s="35"/>
      <c r="K32" s="36"/>
      <c r="L32" s="36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67"/>
      <c r="BU32" s="34"/>
      <c r="BV32" s="34"/>
      <c r="BW32" s="34"/>
      <c r="BX32" s="34"/>
      <c r="BY32" s="34"/>
      <c r="BZ32" s="34"/>
    </row>
    <row r="33" spans="1:78" ht="21" customHeight="1">
      <c r="A33" s="21"/>
      <c r="B33" s="38">
        <v>5.0999999999999996</v>
      </c>
      <c r="C33" s="40" t="s">
        <v>71</v>
      </c>
      <c r="D33" s="40" t="s">
        <v>43</v>
      </c>
      <c r="E33" s="41">
        <v>46054</v>
      </c>
      <c r="F33" s="41">
        <v>46086</v>
      </c>
      <c r="G33" s="42">
        <f>F33-E33</f>
        <v>32</v>
      </c>
      <c r="H33" s="43">
        <v>1</v>
      </c>
      <c r="I33" s="56"/>
      <c r="J33" s="57"/>
      <c r="K33" s="46"/>
      <c r="L33" s="46"/>
      <c r="M33" s="46"/>
      <c r="N33" s="45"/>
      <c r="O33" s="45"/>
      <c r="P33" s="45"/>
      <c r="Q33" s="45"/>
      <c r="R33" s="45"/>
      <c r="S33" s="46"/>
      <c r="T33" s="46"/>
      <c r="U33" s="46"/>
      <c r="V33" s="46"/>
      <c r="W33" s="46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46"/>
      <c r="BE33" s="46"/>
      <c r="BF33" s="46"/>
      <c r="BG33" s="49"/>
      <c r="BH33" s="49"/>
      <c r="BI33" s="49"/>
      <c r="BJ33" s="49"/>
      <c r="BK33" s="49"/>
      <c r="BL33" s="46"/>
      <c r="BM33" s="46"/>
      <c r="BN33" s="46"/>
      <c r="BO33" s="46"/>
      <c r="BP33" s="50"/>
      <c r="BQ33" s="46"/>
      <c r="BR33" s="46"/>
      <c r="BS33" s="46"/>
      <c r="BT33" s="46"/>
      <c r="BU33" s="46"/>
      <c r="BV33" s="51"/>
      <c r="BW33" s="51"/>
      <c r="BX33" s="51"/>
      <c r="BY33" s="51"/>
      <c r="BZ33" s="51"/>
    </row>
    <row r="34" spans="1:78" ht="21" customHeight="1">
      <c r="A34" s="21"/>
      <c r="B34" s="38">
        <v>5.2</v>
      </c>
      <c r="C34" s="40" t="s">
        <v>72</v>
      </c>
      <c r="D34" s="40" t="s">
        <v>49</v>
      </c>
      <c r="E34" s="41">
        <v>46054</v>
      </c>
      <c r="F34" s="41">
        <v>46086</v>
      </c>
      <c r="G34" s="42">
        <f>F34-E34</f>
        <v>32</v>
      </c>
      <c r="H34" s="43">
        <v>0.6</v>
      </c>
      <c r="I34" s="58"/>
      <c r="J34" s="59"/>
      <c r="K34" s="51"/>
      <c r="L34" s="51"/>
      <c r="M34" s="51"/>
      <c r="N34" s="45"/>
      <c r="O34" s="45"/>
      <c r="P34" s="45"/>
      <c r="Q34" s="45"/>
      <c r="R34" s="45"/>
      <c r="S34" s="51"/>
      <c r="T34" s="51"/>
      <c r="U34" s="51"/>
      <c r="V34" s="51"/>
      <c r="W34" s="51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64"/>
      <c r="AK34" s="64"/>
      <c r="AL34" s="64"/>
      <c r="AM34" s="64"/>
      <c r="AN34" s="64"/>
      <c r="AO34" s="64"/>
      <c r="AP34" s="64"/>
      <c r="AQ34" s="64"/>
      <c r="AR34" s="68"/>
      <c r="AS34" s="68"/>
      <c r="AT34" s="53"/>
      <c r="AU34" s="53"/>
      <c r="AV34" s="53"/>
      <c r="AW34" s="92"/>
      <c r="AX34" s="92"/>
      <c r="AY34" s="92"/>
      <c r="AZ34" s="92"/>
      <c r="BA34" s="92"/>
      <c r="BB34" s="92"/>
      <c r="BC34" s="92"/>
      <c r="BD34" s="51"/>
      <c r="BE34" s="51"/>
      <c r="BF34" s="51"/>
      <c r="BG34" s="54"/>
      <c r="BH34" s="54"/>
      <c r="BI34" s="54"/>
      <c r="BJ34" s="54"/>
      <c r="BK34" s="54"/>
      <c r="BL34" s="51"/>
      <c r="BM34" s="51"/>
      <c r="BN34" s="51"/>
      <c r="BO34" s="51"/>
      <c r="BP34" s="55"/>
      <c r="BQ34" s="46"/>
      <c r="BR34" s="46"/>
      <c r="BS34" s="46"/>
      <c r="BT34" s="46"/>
      <c r="BU34" s="46"/>
      <c r="BV34" s="51"/>
      <c r="BW34" s="51"/>
      <c r="BX34" s="51"/>
      <c r="BY34" s="51"/>
      <c r="BZ34" s="51"/>
    </row>
    <row r="35" spans="1:78" ht="21" customHeight="1">
      <c r="A35" s="21"/>
      <c r="B35" s="38">
        <v>5.3</v>
      </c>
      <c r="C35" s="40" t="s">
        <v>73</v>
      </c>
      <c r="D35" s="40" t="s">
        <v>43</v>
      </c>
      <c r="E35" s="41">
        <v>46054</v>
      </c>
      <c r="F35" s="41">
        <v>46086</v>
      </c>
      <c r="G35" s="42">
        <f>F35-E35</f>
        <v>32</v>
      </c>
      <c r="H35" s="43">
        <v>0.4</v>
      </c>
      <c r="I35" s="58"/>
      <c r="J35" s="59"/>
      <c r="K35" s="51"/>
      <c r="L35" s="51"/>
      <c r="M35" s="51"/>
      <c r="N35" s="45"/>
      <c r="O35" s="45"/>
      <c r="P35" s="45"/>
      <c r="Q35" s="45"/>
      <c r="R35" s="45"/>
      <c r="S35" s="46"/>
      <c r="T35" s="46"/>
      <c r="U35" s="46"/>
      <c r="V35" s="46"/>
      <c r="W35" s="51"/>
      <c r="X35" s="44"/>
      <c r="Y35" s="44"/>
      <c r="Z35" s="44"/>
      <c r="AA35" s="44"/>
      <c r="AB35" s="44"/>
      <c r="AC35" s="44"/>
      <c r="AD35" s="44"/>
      <c r="AE35" s="4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53"/>
      <c r="AU35" s="53"/>
      <c r="AV35" s="53"/>
      <c r="AW35" s="92"/>
      <c r="AX35" s="92"/>
      <c r="AY35" s="92"/>
      <c r="AZ35" s="92"/>
      <c r="BA35" s="92"/>
      <c r="BB35" s="92"/>
      <c r="BC35" s="92"/>
      <c r="BD35" s="51"/>
      <c r="BE35" s="51"/>
      <c r="BF35" s="51"/>
      <c r="BG35" s="54"/>
      <c r="BH35" s="54"/>
      <c r="BI35" s="54"/>
      <c r="BJ35" s="54"/>
      <c r="BK35" s="54"/>
      <c r="BL35" s="51"/>
      <c r="BM35" s="51"/>
      <c r="BN35" s="51"/>
      <c r="BO35" s="51"/>
      <c r="BP35" s="55"/>
      <c r="BQ35" s="46"/>
      <c r="BR35" s="46"/>
      <c r="BS35" s="46"/>
      <c r="BT35" s="46"/>
      <c r="BU35" s="46"/>
      <c r="BV35" s="51"/>
      <c r="BW35" s="51"/>
      <c r="BX35" s="51"/>
      <c r="BY35" s="51"/>
      <c r="BZ35" s="51"/>
    </row>
    <row r="36" spans="1:78" ht="21" customHeight="1">
      <c r="A36" s="21"/>
      <c r="B36" s="31">
        <v>6</v>
      </c>
      <c r="C36" s="32" t="s">
        <v>74</v>
      </c>
      <c r="D36" s="33"/>
      <c r="E36" s="33"/>
      <c r="F36" s="33"/>
      <c r="G36" s="33"/>
      <c r="H36" s="33"/>
      <c r="I36" s="34"/>
      <c r="J36" s="35"/>
      <c r="K36" s="36"/>
      <c r="L36" s="36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</row>
    <row r="37" spans="1:78" ht="21" customHeight="1">
      <c r="A37" s="21"/>
      <c r="B37" s="38">
        <v>6.1</v>
      </c>
      <c r="C37" s="40" t="s">
        <v>75</v>
      </c>
      <c r="D37" s="40" t="s">
        <v>43</v>
      </c>
      <c r="E37" s="41">
        <v>46082</v>
      </c>
      <c r="F37" s="41">
        <v>46096</v>
      </c>
      <c r="G37" s="42">
        <f>F37-E37</f>
        <v>14</v>
      </c>
      <c r="H37" s="43">
        <v>0</v>
      </c>
      <c r="I37" s="56"/>
      <c r="J37" s="57"/>
      <c r="K37" s="46"/>
      <c r="L37" s="46"/>
      <c r="M37" s="46"/>
      <c r="N37" s="45"/>
      <c r="O37" s="45"/>
      <c r="P37" s="45"/>
      <c r="Q37" s="45"/>
      <c r="R37" s="45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7"/>
      <c r="AD37" s="47"/>
      <c r="AE37" s="47"/>
      <c r="AF37" s="47"/>
      <c r="AG37" s="47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4"/>
      <c r="AS37" s="44"/>
      <c r="AT37" s="44"/>
      <c r="AU37" s="44"/>
      <c r="AV37" s="44"/>
      <c r="AW37" s="44"/>
      <c r="AX37" s="44"/>
      <c r="AY37" s="44"/>
      <c r="AZ37" s="65"/>
      <c r="BA37" s="65"/>
      <c r="BB37" s="66"/>
      <c r="BC37" s="66"/>
      <c r="BD37" s="66"/>
      <c r="BE37" s="66"/>
      <c r="BF37" s="66"/>
      <c r="BG37" s="66"/>
      <c r="BH37" s="66"/>
      <c r="BI37" s="66"/>
      <c r="BJ37" s="49"/>
      <c r="BK37" s="49"/>
      <c r="BL37" s="46"/>
      <c r="BM37" s="46"/>
      <c r="BN37" s="46"/>
      <c r="BO37" s="46"/>
      <c r="BP37" s="50"/>
      <c r="BQ37" s="51"/>
      <c r="BR37" s="51"/>
      <c r="BS37" s="51"/>
      <c r="BT37" s="51"/>
      <c r="BU37" s="51"/>
      <c r="BV37" s="51"/>
      <c r="BW37" s="51"/>
      <c r="BX37" s="51"/>
      <c r="BY37" s="51"/>
      <c r="BZ37" s="51"/>
    </row>
    <row r="38" spans="1:78" ht="21" customHeight="1">
      <c r="A38" s="21"/>
      <c r="B38" s="38">
        <v>6.2</v>
      </c>
      <c r="C38" s="40" t="s">
        <v>76</v>
      </c>
      <c r="D38" s="40" t="s">
        <v>54</v>
      </c>
      <c r="E38" s="41">
        <v>46096</v>
      </c>
      <c r="F38" s="41">
        <v>46112</v>
      </c>
      <c r="G38" s="42">
        <f>F38-E38</f>
        <v>16</v>
      </c>
      <c r="H38" s="43">
        <v>0</v>
      </c>
      <c r="I38" s="58"/>
      <c r="J38" s="59"/>
      <c r="K38" s="51"/>
      <c r="L38" s="51"/>
      <c r="M38" s="51"/>
      <c r="N38" s="45"/>
      <c r="O38" s="45"/>
      <c r="P38" s="45"/>
      <c r="Q38" s="45"/>
      <c r="R38" s="45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2"/>
      <c r="AD38" s="52"/>
      <c r="AE38" s="52"/>
      <c r="AF38" s="52"/>
      <c r="AG38" s="52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3"/>
      <c r="AS38" s="53"/>
      <c r="AT38" s="53"/>
      <c r="AU38" s="53"/>
      <c r="AV38" s="53"/>
      <c r="AW38" s="51"/>
      <c r="AX38" s="51"/>
      <c r="AY38" s="51"/>
      <c r="AZ38" s="51"/>
      <c r="BA38" s="51"/>
      <c r="BB38" s="44"/>
      <c r="BC38" s="44"/>
      <c r="BD38" s="44"/>
      <c r="BE38" s="44"/>
      <c r="BF38" s="44"/>
      <c r="BG38" s="44"/>
      <c r="BH38" s="44"/>
      <c r="BI38" s="44"/>
      <c r="BJ38" s="65"/>
      <c r="BK38" s="65"/>
      <c r="BL38" s="67"/>
      <c r="BM38" s="67"/>
      <c r="BN38" s="67"/>
      <c r="BO38" s="67"/>
      <c r="BP38" s="69"/>
      <c r="BQ38" s="67"/>
      <c r="BR38" s="67"/>
      <c r="BS38" s="67"/>
      <c r="BT38" s="67"/>
      <c r="BU38" s="67"/>
      <c r="BV38" s="51"/>
      <c r="BW38" s="51"/>
      <c r="BX38" s="51"/>
      <c r="BY38" s="51"/>
      <c r="BZ38" s="51"/>
    </row>
    <row r="39" spans="1:78" ht="21" customHeight="1">
      <c r="A39" s="21"/>
      <c r="B39" s="38">
        <v>6.3</v>
      </c>
      <c r="C39" s="40" t="s">
        <v>77</v>
      </c>
      <c r="D39" s="40" t="s">
        <v>49</v>
      </c>
      <c r="E39" s="41">
        <v>46096</v>
      </c>
      <c r="F39" s="41">
        <v>46112</v>
      </c>
      <c r="G39" s="42">
        <f>F39-E39</f>
        <v>16</v>
      </c>
      <c r="H39" s="43">
        <v>0</v>
      </c>
      <c r="I39" s="58"/>
      <c r="J39" s="59"/>
      <c r="K39" s="51"/>
      <c r="L39" s="51"/>
      <c r="M39" s="51"/>
      <c r="N39" s="45"/>
      <c r="O39" s="45"/>
      <c r="P39" s="45"/>
      <c r="Q39" s="45"/>
      <c r="R39" s="45"/>
      <c r="S39" s="46"/>
      <c r="T39" s="46"/>
      <c r="U39" s="46"/>
      <c r="V39" s="46"/>
      <c r="W39" s="51"/>
      <c r="X39" s="51"/>
      <c r="Y39" s="51"/>
      <c r="Z39" s="51"/>
      <c r="AA39" s="51"/>
      <c r="AB39" s="51"/>
      <c r="AC39" s="52"/>
      <c r="AD39" s="52"/>
      <c r="AE39" s="52"/>
      <c r="AF39" s="52"/>
      <c r="AG39" s="52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3"/>
      <c r="AS39" s="53"/>
      <c r="AT39" s="53"/>
      <c r="AU39" s="53"/>
      <c r="AV39" s="53"/>
      <c r="AW39" s="51"/>
      <c r="AX39" s="51"/>
      <c r="AY39" s="51"/>
      <c r="AZ39" s="51"/>
      <c r="BA39" s="51"/>
      <c r="BB39" s="44"/>
      <c r="BC39" s="44"/>
      <c r="BD39" s="44"/>
      <c r="BE39" s="44"/>
      <c r="BF39" s="44"/>
      <c r="BG39" s="44"/>
      <c r="BH39" s="44"/>
      <c r="BI39" s="44"/>
      <c r="BJ39" s="65"/>
      <c r="BK39" s="65"/>
      <c r="BL39" s="67"/>
      <c r="BM39" s="67"/>
      <c r="BN39" s="67"/>
      <c r="BO39" s="67"/>
      <c r="BP39" s="69"/>
      <c r="BQ39" s="67"/>
      <c r="BR39" s="67"/>
      <c r="BS39" s="67"/>
      <c r="BT39" s="67"/>
      <c r="BU39" s="67"/>
      <c r="BV39" s="51"/>
      <c r="BW39" s="51"/>
      <c r="BX39" s="51"/>
      <c r="BY39" s="51"/>
      <c r="BZ39" s="51"/>
    </row>
    <row r="40" spans="1:78" ht="21" customHeight="1">
      <c r="A40" s="21"/>
      <c r="B40" s="31">
        <v>7</v>
      </c>
      <c r="C40" s="32" t="s">
        <v>78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4"/>
      <c r="BW40" s="34"/>
      <c r="BX40" s="34"/>
      <c r="BY40" s="34"/>
      <c r="BZ40" s="34"/>
    </row>
    <row r="41" spans="1:78" ht="21" customHeight="1">
      <c r="A41" s="21"/>
      <c r="B41" s="38">
        <v>7.1</v>
      </c>
      <c r="C41" s="40" t="s">
        <v>79</v>
      </c>
      <c r="D41" s="40" t="s">
        <v>45</v>
      </c>
      <c r="E41" s="41">
        <v>46113</v>
      </c>
      <c r="F41" s="41">
        <v>46119</v>
      </c>
      <c r="G41" s="42">
        <f>F41-E41</f>
        <v>6</v>
      </c>
      <c r="H41" s="43">
        <v>0</v>
      </c>
      <c r="I41" s="51"/>
      <c r="J41" s="51"/>
      <c r="K41" s="51"/>
      <c r="L41" s="51"/>
      <c r="M41" s="51"/>
      <c r="N41" s="45"/>
      <c r="O41" s="45"/>
      <c r="P41" s="45"/>
      <c r="Q41" s="45"/>
      <c r="R41" s="45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2"/>
      <c r="AD41" s="52"/>
      <c r="AE41" s="52"/>
      <c r="AF41" s="52"/>
      <c r="AG41" s="52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3"/>
      <c r="AS41" s="53"/>
      <c r="AT41" s="53"/>
      <c r="AU41" s="53"/>
      <c r="AV41" s="53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49"/>
      <c r="BH41" s="49"/>
      <c r="BI41" s="49"/>
      <c r="BJ41" s="49"/>
      <c r="BK41" s="49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67"/>
      <c r="BW41" s="67"/>
      <c r="BX41" s="67"/>
      <c r="BY41" s="67"/>
      <c r="BZ41" s="67"/>
    </row>
    <row r="42" spans="1:78" ht="21" customHeight="1">
      <c r="A42" s="21"/>
      <c r="B42" s="38">
        <v>7.2</v>
      </c>
      <c r="C42" s="40" t="s">
        <v>80</v>
      </c>
      <c r="D42" s="40" t="s">
        <v>41</v>
      </c>
      <c r="E42" s="41">
        <v>46113</v>
      </c>
      <c r="F42" s="41">
        <v>46119</v>
      </c>
      <c r="G42" s="42">
        <f>F42-E42</f>
        <v>6</v>
      </c>
      <c r="H42" s="43">
        <v>0</v>
      </c>
      <c r="I42" s="51"/>
      <c r="J42" s="51"/>
      <c r="K42" s="51"/>
      <c r="L42" s="51"/>
      <c r="M42" s="51"/>
      <c r="N42" s="45"/>
      <c r="O42" s="45"/>
      <c r="P42" s="45"/>
      <c r="Q42" s="45"/>
      <c r="R42" s="45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2"/>
      <c r="AD42" s="52"/>
      <c r="AE42" s="52"/>
      <c r="AF42" s="52"/>
      <c r="AG42" s="52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3"/>
      <c r="AS42" s="53"/>
      <c r="AT42" s="53"/>
      <c r="AU42" s="53"/>
      <c r="AV42" s="53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49"/>
      <c r="BH42" s="49"/>
      <c r="BI42" s="49"/>
      <c r="BJ42" s="49"/>
      <c r="BK42" s="49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67"/>
      <c r="BW42" s="67"/>
      <c r="BX42" s="67"/>
      <c r="BY42" s="67"/>
      <c r="BZ42" s="67"/>
    </row>
    <row r="43" spans="1:78" ht="21" customHeight="1">
      <c r="A43" s="21"/>
      <c r="B43" s="38">
        <v>7.3</v>
      </c>
      <c r="C43" s="40" t="s">
        <v>81</v>
      </c>
      <c r="D43" s="40" t="s">
        <v>43</v>
      </c>
      <c r="E43" s="41">
        <v>46113</v>
      </c>
      <c r="F43" s="41">
        <v>46119</v>
      </c>
      <c r="G43" s="42">
        <f>F43-E43</f>
        <v>6</v>
      </c>
      <c r="H43" s="43">
        <v>0</v>
      </c>
      <c r="I43" s="51"/>
      <c r="J43" s="51"/>
      <c r="K43" s="51"/>
      <c r="L43" s="51"/>
      <c r="M43" s="51"/>
      <c r="N43" s="45"/>
      <c r="O43" s="45"/>
      <c r="P43" s="45"/>
      <c r="Q43" s="45"/>
      <c r="R43" s="45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2"/>
      <c r="AD43" s="52"/>
      <c r="AE43" s="52"/>
      <c r="AF43" s="52"/>
      <c r="AG43" s="52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3"/>
      <c r="AS43" s="53"/>
      <c r="AT43" s="53"/>
      <c r="AU43" s="53"/>
      <c r="AV43" s="53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49"/>
      <c r="BH43" s="49"/>
      <c r="BI43" s="49"/>
      <c r="BJ43" s="49"/>
      <c r="BK43" s="49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67"/>
      <c r="BW43" s="67"/>
      <c r="BX43" s="67"/>
      <c r="BY43" s="67"/>
      <c r="BZ43" s="67"/>
    </row>
  </sheetData>
  <mergeCells count="36">
    <mergeCell ref="BV9:BZ9"/>
    <mergeCell ref="BB8:BZ8"/>
    <mergeCell ref="I2:N2"/>
    <mergeCell ref="B5:C5"/>
    <mergeCell ref="O2:AE2"/>
    <mergeCell ref="X9:AB9"/>
    <mergeCell ref="C8:C10"/>
    <mergeCell ref="X8:AL8"/>
    <mergeCell ref="B4:C4"/>
    <mergeCell ref="F8:F10"/>
    <mergeCell ref="D4:G4"/>
    <mergeCell ref="AH9:AL9"/>
    <mergeCell ref="BG9:BK9"/>
    <mergeCell ref="E8:E10"/>
    <mergeCell ref="P5:AA5"/>
    <mergeCell ref="B8:B10"/>
    <mergeCell ref="AC9:AG9"/>
    <mergeCell ref="S9:W9"/>
    <mergeCell ref="AM8:BA8"/>
    <mergeCell ref="BB9:BF9"/>
    <mergeCell ref="N9:R9"/>
    <mergeCell ref="I9:M9"/>
    <mergeCell ref="B2:G2"/>
    <mergeCell ref="I5:O5"/>
    <mergeCell ref="BQ9:BU9"/>
    <mergeCell ref="I4:O4"/>
    <mergeCell ref="D8:D10"/>
    <mergeCell ref="D5:G5"/>
    <mergeCell ref="AR9:AV9"/>
    <mergeCell ref="BL9:BP9"/>
    <mergeCell ref="AM9:AQ9"/>
    <mergeCell ref="P4:AB4"/>
    <mergeCell ref="I8:W8"/>
    <mergeCell ref="G8:G10"/>
    <mergeCell ref="H8:H10"/>
    <mergeCell ref="AW9:BA9"/>
  </mergeCells>
  <conditionalFormatting sqref="H12:H16 H18:H43">
    <cfRule type="colorScale" priority="23">
      <colorScale>
        <cfvo type="min"/>
        <cfvo type="max"/>
        <color rgb="FFFFFFFF"/>
        <color rgb="FF57BB8A"/>
      </colorScale>
    </cfRule>
    <cfRule type="colorScale" priority="24">
      <colorScale>
        <cfvo type="min"/>
        <cfvo type="max"/>
        <color rgb="FF57BB8A"/>
        <color rgb="FFFFFFFF"/>
      </colorScale>
    </cfRule>
  </conditionalFormatting>
  <conditionalFormatting sqref="BV33:BZ35 I12:BU40 I41:BK43">
    <cfRule type="expression" dxfId="13" priority="17">
      <formula>AND(I$10&gt;=$E12, I$10&lt;=$E12+($F12-$E12)*$H12, I$10&lt;=$F12)</formula>
    </cfRule>
    <cfRule type="expression" dxfId="12" priority="18">
      <formula>AND(I$10&gt;=$E11, I$10&lt;=$F11, I$10&gt;$E11+($F11-$E11)*$H11)</formula>
    </cfRule>
  </conditionalFormatting>
  <conditionalFormatting sqref="BV12:BZ27">
    <cfRule type="expression" dxfId="11" priority="15">
      <formula>AND(BV$10&gt;=$E12, BV$10&lt;=$E12+($F12-$E12)*$H12, BV$10&lt;=$F12)</formula>
    </cfRule>
    <cfRule type="expression" dxfId="10" priority="16">
      <formula>AND(BV$10&gt;=$E11, BV$10&lt;=$F11, BV$10&gt;$E11+($F11-$E11)*$H11)</formula>
    </cfRule>
  </conditionalFormatting>
  <conditionalFormatting sqref="BV28:BZ32">
    <cfRule type="expression" dxfId="9" priority="13">
      <formula>AND(BV$10&gt;=$E28, BV$10&lt;=$E28+($F28-$E28)*$H28, BV$10&lt;=$F28)</formula>
    </cfRule>
    <cfRule type="expression" dxfId="8" priority="14">
      <formula>AND(BV$10&gt;=$E27, BV$10&lt;=$F27, BV$10&gt;$E27+($F27-$E27)*$H27)</formula>
    </cfRule>
  </conditionalFormatting>
  <conditionalFormatting sqref="BV36:BZ36 BV40:BZ40">
    <cfRule type="expression" dxfId="7" priority="27">
      <formula>AND(BV$10&gt;=$E37, BV$10&lt;=$E37+($F37-$E37)*$H37, BV$10&lt;=$F37)</formula>
    </cfRule>
    <cfRule type="expression" dxfId="6" priority="28">
      <formula>AND(BV$10&gt;=$E36, BV$10&lt;=$F36, BV$10&gt;$E36+($F36-$E36)*$H36)</formula>
    </cfRule>
  </conditionalFormatting>
  <conditionalFormatting sqref="BV37:BZ39">
    <cfRule type="expression" dxfId="5" priority="7">
      <formula>AND(BV$10&gt;=$E37, BV$10&lt;=$E37+($F37-$E37)*$H37, BV$10&lt;=$F37)</formula>
    </cfRule>
    <cfRule type="expression" dxfId="4" priority="8">
      <formula>AND(BV$10&gt;=$E36, BV$10&lt;=$F36, BV$10&gt;$E36+($F36-$E36)*$H36)</formula>
    </cfRule>
  </conditionalFormatting>
  <conditionalFormatting sqref="BV41:BZ43">
    <cfRule type="expression" dxfId="3" priority="31">
      <formula>AND(BL$10&gt;=$E41, BL$10&lt;=$E41+($F41-$E41)*$H41, BL$10&lt;=$F41)</formula>
    </cfRule>
    <cfRule type="expression" dxfId="2" priority="32">
      <formula>AND(BL$10&gt;=$E40, BL$10&lt;=$F40, BL$10&gt;$E40+($F40-$E40)*$H40)</formula>
    </cfRule>
  </conditionalFormatting>
  <conditionalFormatting sqref="BL41:BU43">
    <cfRule type="expression" dxfId="1" priority="1">
      <formula>AND(BL$10&gt;=$E41, BL$10&lt;=$E41+($F41-$E41)*$H41, BL$10&lt;=$F41)</formula>
    </cfRule>
    <cfRule type="expression" dxfId="0" priority="2">
      <formula>AND(BL$10&gt;=$E40, BL$10&lt;=$F40, BL$10&gt;$E40+($F40-$E40)*$H40)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Rishith Gupta</cp:lastModifiedBy>
  <dcterms:created xsi:type="dcterms:W3CDTF">2026-02-19T12:26:35Z</dcterms:created>
  <dcterms:modified xsi:type="dcterms:W3CDTF">2026-02-20T04:02:42Z</dcterms:modified>
</cp:coreProperties>
</file>